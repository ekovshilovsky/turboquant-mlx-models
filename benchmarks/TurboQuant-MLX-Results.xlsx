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L Scaling" sheetId="1" state="visible" r:id="rId1"/>
    <sheet xmlns:r="http://schemas.openxmlformats.org/officeDocument/2006/relationships" name="Technique Ablation" sheetId="2" state="visible" r:id="rId2"/>
    <sheet xmlns:r="http://schemas.openxmlformats.org/officeDocument/2006/relationships" name="Speed Benchmarks" sheetId="3" state="visible" r:id="rId3"/>
    <sheet xmlns:r="http://schemas.openxmlformats.org/officeDocument/2006/relationships" name="Residual Analysis" sheetId="4" state="visible" r:id="rId4"/>
    <sheet xmlns:r="http://schemas.openxmlformats.org/officeDocument/2006/relationships" name="Model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&quot;%&quot;"/>
    <numFmt numFmtId="166" formatCode="0.0&quot;%&quot;"/>
    <numFmt numFmtId="167" formatCode="0.0"/>
    <numFmt numFmtId="168" formatCode="0.00&quot;x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8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1" t="inlineStr">
        <is>
          <t>Model</t>
        </is>
      </c>
      <c r="B1" s="1" t="inlineStr">
        <is>
          <t>Architecture</t>
        </is>
      </c>
      <c r="C1" s="1" t="inlineStr">
        <is>
          <t>Parameters</t>
        </is>
      </c>
      <c r="D1" s="1" t="inlineStr">
        <is>
          <t>Config</t>
        </is>
      </c>
      <c r="E1" s="1" t="inlineStr">
        <is>
          <t>fp16 PPL</t>
        </is>
      </c>
      <c r="F1" s="1" t="inlineStr">
        <is>
          <t>TQ8 PPL</t>
        </is>
      </c>
      <c r="G1" s="1" t="inlineStr">
        <is>
          <t>PPL Delta</t>
        </is>
      </c>
      <c r="H1" s="1" t="inlineStr">
        <is>
          <t>Delta %</t>
        </is>
      </c>
      <c r="I1" s="1" t="inlineStr">
        <is>
          <t>Target</t>
        </is>
      </c>
      <c r="J1" s="1" t="inlineStr">
        <is>
          <t>Pass/Fail</t>
        </is>
      </c>
      <c r="K1" s="1" t="inlineStr">
        <is>
          <t>Compression</t>
        </is>
      </c>
      <c r="L1" s="1" t="inlineStr">
        <is>
          <t>TQ8 Size GB</t>
        </is>
      </c>
      <c r="M1" s="1" t="inlineStr">
        <is>
          <t>fp16 Size GB</t>
        </is>
      </c>
      <c r="N1" s="1" t="inlineStr">
        <is>
          <t>Convert Time Min</t>
        </is>
      </c>
    </row>
    <row r="2">
      <c r="A2" s="2" t="inlineStr">
        <is>
          <t>Qwen2.5-0.5B</t>
        </is>
      </c>
      <c r="B2" s="2" t="inlineStr">
        <is>
          <t>Dense base</t>
        </is>
      </c>
      <c r="C2" s="2" t="n">
        <v>0.5</v>
      </c>
      <c r="D2" s="2" t="inlineStr">
        <is>
          <t>Baseline 4+4</t>
        </is>
      </c>
      <c r="E2" s="2" t="n">
        <v>1.72</v>
      </c>
      <c r="F2" s="2" t="n">
        <v>1.8</v>
      </c>
      <c r="G2" s="3">
        <f>IF(F2="","",ABS(F2-E2))</f>
        <v/>
      </c>
      <c r="H2" s="4">
        <f>IF(F2="","",ABS(F2-E2)/E2*100)</f>
        <v/>
      </c>
      <c r="I2" s="2" t="inlineStr">
        <is>
          <t>&lt;2%</t>
        </is>
      </c>
      <c r="J2" s="2">
        <f>IF(F2="","PENDING",IF(H2&lt;VALUE(SUBSTITUTE(SUBSTITUTE(I2,"&lt;",""),"%","")),"PASS","FAIL"))</f>
        <v/>
      </c>
      <c r="K2" s="5">
        <f>IF(L2="","",L2/M2)</f>
        <v/>
      </c>
      <c r="L2" s="2" t="n">
        <v>0.484</v>
      </c>
      <c r="M2" s="2" t="n">
        <v>0.9419999999999999</v>
      </c>
      <c r="N2" s="2" t="n">
        <v>0.5</v>
      </c>
    </row>
    <row r="3">
      <c r="A3" s="2" t="inlineStr">
        <is>
          <t>Qwen2.5-7B</t>
        </is>
      </c>
      <c r="B3" s="2" t="inlineStr">
        <is>
          <t>Dense base</t>
        </is>
      </c>
      <c r="C3" s="2" t="n">
        <v>7</v>
      </c>
      <c r="D3" s="2" t="inlineStr">
        <is>
          <t>Baseline 4+4</t>
        </is>
      </c>
      <c r="E3" s="2" t="n">
        <v>1.47</v>
      </c>
      <c r="F3" s="2" t="n">
        <v>1.53</v>
      </c>
      <c r="G3" s="3">
        <f>IF(F3="","",ABS(F3-E3))</f>
        <v/>
      </c>
      <c r="H3" s="4">
        <f>IF(F3="","",ABS(F3-E3)/E3*100)</f>
        <v/>
      </c>
      <c r="I3" s="2" t="inlineStr">
        <is>
          <t>&lt;2%</t>
        </is>
      </c>
      <c r="J3" s="2">
        <f>IF(F3="","PENDING",IF(H3&lt;VALUE(SUBSTITUTE(SUBSTITUTE(I3,"&lt;",""),"%","")),"PASS","FAIL"))</f>
        <v/>
      </c>
      <c r="K3" s="5">
        <f>IF(L3="","",L3/M3)</f>
        <v/>
      </c>
      <c r="L3" s="2" t="n">
        <v>7.1</v>
      </c>
      <c r="M3" s="2" t="n">
        <v>14</v>
      </c>
      <c r="N3" s="2" t="n">
        <v>1.5</v>
      </c>
    </row>
    <row r="4">
      <c r="A4" s="2" t="inlineStr">
        <is>
          <t>Qwen2.5-Coder-7B</t>
        </is>
      </c>
      <c r="B4" s="2" t="inlineStr">
        <is>
          <t>Coder</t>
        </is>
      </c>
      <c r="C4" s="2" t="n">
        <v>7</v>
      </c>
      <c r="D4" s="2" t="inlineStr">
        <is>
          <t>Baseline 4+4</t>
        </is>
      </c>
      <c r="E4" s="2" t="n">
        <v>1.46</v>
      </c>
      <c r="F4" s="2" t="n">
        <v>1.47</v>
      </c>
      <c r="G4" s="3">
        <f>IF(F4="","",ABS(F4-E4))</f>
        <v/>
      </c>
      <c r="H4" s="4">
        <f>IF(F4="","",ABS(F4-E4)/E4*100)</f>
        <v/>
      </c>
      <c r="I4" s="2" t="inlineStr">
        <is>
          <t>&lt;1%</t>
        </is>
      </c>
      <c r="J4" s="2">
        <f>IF(F4="","PENDING",IF(H4&lt;VALUE(SUBSTITUTE(SUBSTITUTE(I4,"&lt;",""),"%","")),"PASS","FAIL"))</f>
        <v/>
      </c>
      <c r="K4" s="5">
        <f>IF(L4="","",L4/M4)</f>
        <v/>
      </c>
      <c r="L4" s="2" t="n">
        <v>7.1</v>
      </c>
      <c r="M4" s="2" t="n">
        <v>14</v>
      </c>
      <c r="N4" s="2" t="n">
        <v>1.5</v>
      </c>
    </row>
    <row r="5">
      <c r="A5" s="2" t="inlineStr">
        <is>
          <t>Qwen2.5-32B</t>
        </is>
      </c>
      <c r="B5" s="2" t="inlineStr">
        <is>
          <t>Dense base</t>
        </is>
      </c>
      <c r="C5" s="2" t="n">
        <v>32</v>
      </c>
      <c r="D5" s="2" t="inlineStr">
        <is>
          <t>Baseline 4+4</t>
        </is>
      </c>
      <c r="E5" s="2" t="n">
        <v>1.4141</v>
      </c>
      <c r="F5" s="2" t="n">
        <v>1.4388</v>
      </c>
      <c r="G5" s="3">
        <f>IF(F5="","",ABS(F5-E5))</f>
        <v/>
      </c>
      <c r="H5" s="4">
        <f>IF(F5="","",ABS(F5-E5)/E5*100)</f>
        <v/>
      </c>
      <c r="I5" s="2" t="inlineStr">
        <is>
          <t>&lt;2%</t>
        </is>
      </c>
      <c r="J5" s="2">
        <f>IF(F5="","PENDING",IF(H5&lt;VALUE(SUBSTITUTE(SUBSTITUTE(I5,"&lt;",""),"%","")),"PASS","FAIL"))</f>
        <v/>
      </c>
      <c r="K5" s="5">
        <f>IF(L5="","",L5/M5)</f>
        <v/>
      </c>
      <c r="L5" s="2" t="n">
        <v>31</v>
      </c>
      <c r="M5" s="2" t="n">
        <v>61</v>
      </c>
      <c r="N5" s="2" t="n">
        <v>7</v>
      </c>
    </row>
    <row r="6">
      <c r="A6" s="2" t="inlineStr">
        <is>
          <t>Qwen2.5-32B</t>
        </is>
      </c>
      <c r="B6" s="2" t="inlineStr">
        <is>
          <t>Dense base</t>
        </is>
      </c>
      <c r="C6" s="2" t="n">
        <v>32</v>
      </c>
      <c r="D6" s="2" t="inlineStr">
        <is>
          <t>T1 (sensitive-4)</t>
        </is>
      </c>
      <c r="E6" s="2" t="n">
        <v>1.4141</v>
      </c>
      <c r="F6" s="2" t="n">
        <v>1.4314</v>
      </c>
      <c r="G6" s="3">
        <f>IF(F6="","",ABS(F6-E6))</f>
        <v/>
      </c>
      <c r="H6" s="4">
        <f>IF(F6="","",ABS(F6-E6)/E6*100)</f>
        <v/>
      </c>
      <c r="I6" s="2" t="inlineStr">
        <is>
          <t>&lt;2%</t>
        </is>
      </c>
      <c r="J6" s="2">
        <f>IF(F6="","PENDING",IF(H6&lt;VALUE(SUBSTITUTE(SUBSTITUTE(I6,"&lt;",""),"%","")),"PASS","FAIL"))</f>
        <v/>
      </c>
      <c r="K6" s="5">
        <f>IF(L6="","",L6/M6)</f>
        <v/>
      </c>
      <c r="L6" s="2" t="n">
        <v>34</v>
      </c>
      <c r="M6" s="2" t="n">
        <v>61</v>
      </c>
      <c r="N6" s="2" t="n">
        <v>6</v>
      </c>
    </row>
    <row r="7">
      <c r="A7" s="2" t="inlineStr">
        <is>
          <t>Qwen2.5-32B</t>
        </is>
      </c>
      <c r="B7" s="2" t="inlineStr">
        <is>
          <t>Dense base</t>
        </is>
      </c>
      <c r="C7" s="2" t="n">
        <v>32</v>
      </c>
      <c r="D7" s="2" t="inlineStr">
        <is>
          <t>T1+T2 (norm refine)</t>
        </is>
      </c>
      <c r="E7" s="2" t="n">
        <v>1.4141</v>
      </c>
      <c r="F7" s="2" t="n">
        <v>1.4315</v>
      </c>
      <c r="G7" s="3">
        <f>IF(F7="","",ABS(F7-E7))</f>
        <v/>
      </c>
      <c r="H7" s="4">
        <f>IF(F7="","",ABS(F7-E7)/E7*100)</f>
        <v/>
      </c>
      <c r="I7" s="2" t="inlineStr">
        <is>
          <t>&lt;2%</t>
        </is>
      </c>
      <c r="J7" s="2">
        <f>IF(F7="","PENDING",IF(H7&lt;VALUE(SUBSTITUTE(SUBSTITUTE(I7,"&lt;",""),"%","")),"PASS","FAIL"))</f>
        <v/>
      </c>
      <c r="K7" s="5">
        <f>IF(L7="","",L7/M7)</f>
        <v/>
      </c>
      <c r="L7" s="2" t="n">
        <v>34</v>
      </c>
      <c r="M7" s="2" t="n">
        <v>61</v>
      </c>
      <c r="N7" s="2" t="n">
        <v>7</v>
      </c>
    </row>
    <row r="8">
      <c r="A8" s="2" t="inlineStr">
        <is>
          <t>Qwen2.5-32B</t>
        </is>
      </c>
      <c r="B8" s="2" t="inlineStr">
        <is>
          <t>Dense base</t>
        </is>
      </c>
      <c r="C8" s="2" t="n">
        <v>32</v>
      </c>
      <c r="D8" s="2" t="inlineStr">
        <is>
          <t>T1+T3 (5+3 asym)</t>
        </is>
      </c>
      <c r="E8" s="2" t="n">
        <v>1.4141</v>
      </c>
      <c r="F8" s="2" t="n">
        <v>1.4924</v>
      </c>
      <c r="G8" s="3">
        <f>IF(F8="","",ABS(F8-E8))</f>
        <v/>
      </c>
      <c r="H8" s="4">
        <f>IF(F8="","",ABS(F8-E8)/E8*100)</f>
        <v/>
      </c>
      <c r="I8" s="2" t="inlineStr">
        <is>
          <t>&lt;2%</t>
        </is>
      </c>
      <c r="J8" s="2">
        <f>IF(F8="","PENDING",IF(H8&lt;VALUE(SUBSTITUTE(SUBSTITUTE(I8,"&lt;",""),"%","")),"PASS","FAIL"))</f>
        <v/>
      </c>
      <c r="K8" s="5">
        <f>IF(L8="","",L8/M8)</f>
        <v/>
      </c>
      <c r="L8" s="2" t="n">
        <v>48</v>
      </c>
      <c r="M8" s="2" t="n">
        <v>61</v>
      </c>
      <c r="N8" s="2" t="n">
        <v>7</v>
      </c>
    </row>
    <row r="9">
      <c r="A9" s="2" t="inlineStr">
        <is>
          <t>Qwen2.5-32B</t>
        </is>
      </c>
      <c r="B9" s="2" t="inlineStr">
        <is>
          <t>Dense base</t>
        </is>
      </c>
      <c r="C9" s="2" t="n">
        <v>32</v>
      </c>
      <c r="D9" s="2" t="inlineStr">
        <is>
          <t>T1+T4 (per-layer CB) DUAL</t>
        </is>
      </c>
      <c r="E9" s="2" t="n">
        <v>1.4141</v>
      </c>
      <c r="F9" s="2" t="n">
        <v>1.4154</v>
      </c>
      <c r="G9" s="3">
        <f>IF(F9="","",ABS(F9-E9))</f>
        <v/>
      </c>
      <c r="H9" s="4">
        <f>IF(F9="","",ABS(F9-E9)/E9*100)</f>
        <v/>
      </c>
      <c r="I9" s="2" t="inlineStr">
        <is>
          <t>&lt;0.1%</t>
        </is>
      </c>
      <c r="J9" s="2">
        <f>IF(F9="","PENDING",IF(H9&lt;VALUE(SUBSTITUTE(SUBSTITUTE(I9,"&lt;",""),"%","")),"PASS","FAIL"))</f>
        <v/>
      </c>
      <c r="K9" s="5">
        <f>IF(L9="","",L9/M9)</f>
        <v/>
      </c>
      <c r="L9" s="2" t="n">
        <v>34</v>
      </c>
      <c r="M9" s="2" t="n">
        <v>61</v>
      </c>
      <c r="N9" s="2" t="n">
        <v>239</v>
      </c>
    </row>
    <row r="10">
      <c r="A10" s="2" t="inlineStr">
        <is>
          <t>Qwen2.5-32B</t>
        </is>
      </c>
      <c r="B10" s="2" t="inlineStr">
        <is>
          <t>Dense base</t>
        </is>
      </c>
      <c r="C10" s="2" t="n">
        <v>32</v>
      </c>
      <c r="D10" s="2" t="inlineStr">
        <is>
          <t>T1+T4 (per-layer CB) SHARED</t>
        </is>
      </c>
      <c r="E10" s="2" t="n">
        <v>1.4141</v>
      </c>
      <c r="F10" s="2" t="n">
        <v>1.4169</v>
      </c>
      <c r="G10" s="3">
        <f>IF(F10="","",ABS(F10-E10))</f>
        <v/>
      </c>
      <c r="H10" s="4">
        <f>IF(F10="","",ABS(F10-E10)/E10*100)</f>
        <v/>
      </c>
      <c r="I10" s="2" t="inlineStr">
        <is>
          <t>&lt;0.2%</t>
        </is>
      </c>
      <c r="J10" s="2">
        <f>IF(F10="","PENDING",IF(H10&lt;VALUE(SUBSTITUTE(SUBSTITUTE(I10,"&lt;",""),"%","")),"PASS","FAIL"))</f>
        <v/>
      </c>
      <c r="K10" s="5">
        <f>IF(L10="","",L10/M10)</f>
        <v/>
      </c>
      <c r="L10" s="2" t="n">
        <v>34</v>
      </c>
      <c r="M10" s="2" t="n">
        <v>61</v>
      </c>
      <c r="N10" s="2" t="n">
        <v>227</v>
      </c>
    </row>
    <row r="11">
      <c r="A11" s="2" t="inlineStr">
        <is>
          <t>Qwen3.5-27B</t>
        </is>
      </c>
      <c r="B11" s="2" t="inlineStr">
        <is>
          <t>Hybrid</t>
        </is>
      </c>
      <c r="C11" s="2" t="n">
        <v>27</v>
      </c>
      <c r="D11" s="2" t="inlineStr">
        <is>
          <t>Baseline 4+4</t>
        </is>
      </c>
      <c r="E11" s="2" t="n">
        <v>1.4531</v>
      </c>
      <c r="F11" s="2" t="n">
        <v>1.4493</v>
      </c>
      <c r="G11" s="3">
        <f>IF(F11="","",ABS(F11-E11))</f>
        <v/>
      </c>
      <c r="H11" s="4">
        <f>IF(F11="","",ABS(F11-E11)/E11*100)</f>
        <v/>
      </c>
      <c r="I11" s="2" t="inlineStr">
        <is>
          <t>&lt;2%</t>
        </is>
      </c>
      <c r="J11" s="2">
        <f>IF(F11="","PENDING",IF(H11&lt;VALUE(SUBSTITUTE(SUBSTITUTE(I11,"&lt;",""),"%","")),"PASS","FAIL"))</f>
        <v/>
      </c>
      <c r="K11" s="5">
        <f>IF(L11="","",L11/M11)</f>
        <v/>
      </c>
      <c r="L11" s="2" t="n">
        <v>26</v>
      </c>
      <c r="M11" s="2" t="n">
        <v>52</v>
      </c>
      <c r="N11" s="2" t="n">
        <v>7</v>
      </c>
    </row>
    <row r="12">
      <c r="A12" s="2" t="inlineStr">
        <is>
          <t>Qwen3.5-27B</t>
        </is>
      </c>
      <c r="B12" s="2" t="inlineStr">
        <is>
          <t>Hybrid</t>
        </is>
      </c>
      <c r="C12" s="2" t="n">
        <v>27</v>
      </c>
      <c r="D12" s="2" t="inlineStr">
        <is>
          <t>T1+T4 (earlier build)</t>
        </is>
      </c>
      <c r="E12" s="2" t="n">
        <v>1.4531</v>
      </c>
      <c r="F12" s="2" t="n">
        <v>1.4557</v>
      </c>
      <c r="G12" s="3">
        <f>IF(F12="","",ABS(F12-E12))</f>
        <v/>
      </c>
      <c r="H12" s="4">
        <f>IF(F12="","",ABS(F12-E12)/E12*100)</f>
        <v/>
      </c>
      <c r="I12" s="2" t="inlineStr">
        <is>
          <t>&lt;0.2%</t>
        </is>
      </c>
      <c r="J12" s="2">
        <f>IF(F12="","PENDING",IF(H12&lt;VALUE(SUBSTITUTE(SUBSTITUTE(I12,"&lt;",""),"%","")),"PASS","FAIL"))</f>
        <v/>
      </c>
      <c r="K12" s="5">
        <f>IF(L12="","",L12/M12)</f>
        <v/>
      </c>
      <c r="L12" s="2" t="n">
        <v>29</v>
      </c>
      <c r="M12" s="2" t="n">
        <v>52</v>
      </c>
      <c r="N12" s="2" t="n">
        <v>202</v>
      </c>
    </row>
    <row r="13">
      <c r="A13" s="2" t="inlineStr">
        <is>
          <t>Qwen3.5-27B</t>
        </is>
      </c>
      <c r="B13" s="2" t="inlineStr">
        <is>
          <t>Hybrid</t>
        </is>
      </c>
      <c r="C13" s="2" t="n">
        <v>27</v>
      </c>
      <c r="D13" s="2" t="inlineStr">
        <is>
          <t>T1+T4 DUAL (current)</t>
        </is>
      </c>
      <c r="E13" s="2" t="n">
        <v>1.4531</v>
      </c>
      <c r="F13" s="2" t="n"/>
      <c r="G13" s="3">
        <f>IF(F13="","",ABS(F13-E13))</f>
        <v/>
      </c>
      <c r="H13" s="4">
        <f>IF(F13="","",ABS(F13-E13)/E13*100)</f>
        <v/>
      </c>
      <c r="I13" s="2" t="inlineStr">
        <is>
          <t>&lt;0.1%</t>
        </is>
      </c>
      <c r="J13" s="2">
        <f>IF(F13="","PENDING",IF(H13&lt;VALUE(SUBSTITUTE(SUBSTITUTE(I13,"&lt;",""),"%","")),"PASS","FAIL"))</f>
        <v/>
      </c>
      <c r="K13" s="5">
        <f>IF(L13="","",L13/M13)</f>
        <v/>
      </c>
      <c r="L13" s="2" t="n"/>
      <c r="M13" s="2" t="n">
        <v>52</v>
      </c>
      <c r="N1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0" customWidth="1" min="3" max="3"/>
    <col width="14" customWidth="1" min="4" max="4"/>
    <col width="18" customWidth="1" min="5" max="5"/>
    <col width="14" customWidth="1" min="6" max="6"/>
    <col width="12" customWidth="1" min="7" max="7"/>
    <col width="16" customWidth="1" min="8" max="8"/>
  </cols>
  <sheetData>
    <row r="1">
      <c r="A1" s="1" t="inlineStr">
        <is>
          <t>Technique</t>
        </is>
      </c>
      <c r="B1" s="1" t="inlineStr">
        <is>
          <t>Description</t>
        </is>
      </c>
      <c r="C1" s="1" t="inlineStr">
        <is>
          <t>Qwen2.5-32B Delta %</t>
        </is>
      </c>
      <c r="D1" s="1" t="inlineStr">
        <is>
          <t>vs Baseline</t>
        </is>
      </c>
      <c r="E1" s="1" t="inlineStr">
        <is>
          <t>Relative Improvement</t>
        </is>
      </c>
      <c r="F1" s="1" t="inlineStr">
        <is>
          <t>Model Size GB</t>
        </is>
      </c>
      <c r="G1" s="1" t="inlineStr">
        <is>
          <t>Convert Min</t>
        </is>
      </c>
      <c r="H1" s="1" t="inlineStr">
        <is>
          <t>Verdict</t>
        </is>
      </c>
    </row>
    <row r="2">
      <c r="A2" s="2" t="inlineStr">
        <is>
          <t>Baseline</t>
        </is>
      </c>
      <c r="B2" s="2" t="inlineStr">
        <is>
          <t>4+4 shared codebook, no sensitive layers</t>
        </is>
      </c>
      <c r="C2" s="2" t="n">
        <v>1.75</v>
      </c>
      <c r="D2" s="4">
        <f>IF(C2="","",C$2-C2)</f>
        <v/>
      </c>
      <c r="E2" s="6">
        <f>IF(C2="","",IF(C$2=0,"",(C$2-C2)/C$2*100))</f>
        <v/>
      </c>
      <c r="F2" s="2" t="n">
        <v>31</v>
      </c>
      <c r="G2" s="2" t="n">
        <v>7</v>
      </c>
      <c r="H2" s="2" t="inlineStr">
        <is>
          <t>BASELINE</t>
        </is>
      </c>
    </row>
    <row r="3">
      <c r="A3" s="2" t="inlineStr">
        <is>
          <t>T1</t>
        </is>
      </c>
      <c r="B3" s="2" t="inlineStr">
        <is>
          <t>Sensitive layers (first/last 4 at fp16)</t>
        </is>
      </c>
      <c r="C3" s="2" t="n">
        <v>1.22</v>
      </c>
      <c r="D3" s="4">
        <f>IF(C3="","",C$2-C3)</f>
        <v/>
      </c>
      <c r="E3" s="6">
        <f>IF(C3="","",IF(C$2=0,"",(C$2-C3)/C$2*100))</f>
        <v/>
      </c>
      <c r="F3" s="2" t="n">
        <v>34</v>
      </c>
      <c r="G3" s="2" t="n">
        <v>6</v>
      </c>
      <c r="H3" s="2" t="inlineStr">
        <is>
          <t>ADOPTED</t>
        </is>
      </c>
    </row>
    <row r="4">
      <c r="A4" s="2" t="inlineStr">
        <is>
          <t>T2</t>
        </is>
      </c>
      <c r="B4" s="2" t="inlineStr">
        <is>
          <t>Norm correction includes residual pass</t>
        </is>
      </c>
      <c r="C4" s="2" t="n">
        <v>1.23</v>
      </c>
      <c r="D4" s="4">
        <f>IF(C4="","",C$2-C4)</f>
        <v/>
      </c>
      <c r="E4" s="6">
        <f>IF(C4="","",IF(C$2=0,"",(C$2-C4)/C$2*100))</f>
        <v/>
      </c>
      <c r="F4" s="2" t="n">
        <v>34</v>
      </c>
      <c r="G4" s="2" t="n">
        <v>7</v>
      </c>
      <c r="H4" s="2" t="inlineStr">
        <is>
          <t>NO IMPACT</t>
        </is>
      </c>
    </row>
    <row r="5">
      <c r="A5" s="2" t="inlineStr">
        <is>
          <t>T3</t>
        </is>
      </c>
      <c r="B5" s="2" t="inlineStr">
        <is>
          <t>Asymmetric 5+3 (32 primary + 8 residual)</t>
        </is>
      </c>
      <c r="C5" s="2" t="n">
        <v>5.54</v>
      </c>
      <c r="D5" s="4">
        <f>IF(C5="","",C$2-C5)</f>
        <v/>
      </c>
      <c r="E5" s="6">
        <f>IF(C5="","",IF(C$2=0,"",(C$2-C5)/C$2*100))</f>
        <v/>
      </c>
      <c r="F5" s="2" t="n">
        <v>48</v>
      </c>
      <c r="G5" s="2" t="n">
        <v>7</v>
      </c>
      <c r="H5" s="2" t="inlineStr">
        <is>
          <t>REJECTED</t>
        </is>
      </c>
    </row>
    <row r="6">
      <c r="A6" s="2" t="inlineStr">
        <is>
          <t>T4</t>
        </is>
      </c>
      <c r="B6" s="2" t="inlineStr">
        <is>
          <t>Per-layer codebooks (fitted to actual distribution)</t>
        </is>
      </c>
      <c r="C6" s="2" t="n"/>
      <c r="D6" s="4">
        <f>IF(C6="","",C$2-C6)</f>
        <v/>
      </c>
      <c r="E6" s="6">
        <f>IF(C6="","",IF(C$2=0,"",(C$2-C6)/C$2*100))</f>
        <v/>
      </c>
      <c r="F6" s="2" t="n">
        <v>34</v>
      </c>
      <c r="G6" s="2" t="n">
        <v>239</v>
      </c>
      <c r="H6" s="2" t="inlineStr">
        <is>
          <t>ADOPTED</t>
        </is>
      </c>
    </row>
    <row r="7">
      <c r="A7" s="2" t="inlineStr">
        <is>
          <t>T1+T4 DUAL</t>
        </is>
      </c>
      <c r="B7" s="2" t="inlineStr">
        <is>
          <t>Sensitive layers + per-layer CB + dual rotation</t>
        </is>
      </c>
      <c r="C7" s="2" t="n">
        <v>0.09</v>
      </c>
      <c r="D7" s="4">
        <f>IF(C7="","",C$2-C7)</f>
        <v/>
      </c>
      <c r="E7" s="6">
        <f>IF(C7="","",IF(C$2=0,"",(C$2-C7)/C$2*100))</f>
        <v/>
      </c>
      <c r="F7" s="2" t="n">
        <v>34</v>
      </c>
      <c r="G7" s="2" t="n">
        <v>239</v>
      </c>
      <c r="H7" s="2" t="inlineStr">
        <is>
          <t>BEST QUALITY</t>
        </is>
      </c>
    </row>
    <row r="8">
      <c r="A8" s="2" t="inlineStr">
        <is>
          <t>T1+T4 SHARED</t>
        </is>
      </c>
      <c r="B8" s="2" t="inlineStr">
        <is>
          <t>Sensitive layers + per-layer CB + shared rotation</t>
        </is>
      </c>
      <c r="C8" s="2" t="n">
        <v>0.2</v>
      </c>
      <c r="D8" s="4">
        <f>IF(C8="","",C$2-C8)</f>
        <v/>
      </c>
      <c r="E8" s="6">
        <f>IF(C8="","",IF(C$2=0,"",(C$2-C8)/C$2*100))</f>
        <v/>
      </c>
      <c r="F8" s="2" t="n">
        <v>34</v>
      </c>
      <c r="G8" s="2" t="n">
        <v>227</v>
      </c>
      <c r="H8" s="2" t="inlineStr">
        <is>
          <t>BEST SPEED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Implementation</t>
        </is>
      </c>
      <c r="B1" s="1" t="inlineStr">
        <is>
          <t>Time/token ms</t>
        </is>
      </c>
      <c r="C1" s="1" t="inlineStr">
        <is>
          <t>Throughput tok/s</t>
        </is>
      </c>
      <c r="D1" s="1" t="inlineStr">
        <is>
          <t>vs float32</t>
        </is>
      </c>
      <c r="E1" s="1" t="inlineStr">
        <is>
          <t>vs q8_0</t>
        </is>
      </c>
      <c r="F1" s="1" t="inlineStr">
        <is>
          <t>Matrix Size</t>
        </is>
      </c>
      <c r="G1" s="1" t="inlineStr">
        <is>
          <t>Batch</t>
        </is>
      </c>
    </row>
    <row r="2">
      <c r="A2" s="2" t="inlineStr">
        <is>
          <t>float32 matmul</t>
        </is>
      </c>
      <c r="B2" s="2" t="n">
        <v>0.28</v>
      </c>
      <c r="C2" s="7">
        <f>IF(B2="","",1000/B2)</f>
        <v/>
      </c>
      <c r="D2" s="8">
        <f>IF(B2="","",B2/B$2)</f>
        <v/>
      </c>
      <c r="E2" s="8">
        <f>IF(B2="","",B2/B$3)</f>
        <v/>
      </c>
      <c r="F2" s="2" t="inlineStr">
        <is>
          <t>4096x4096</t>
        </is>
      </c>
      <c r="G2" s="2" t="n">
        <v>1</v>
      </c>
    </row>
    <row r="3">
      <c r="A3" s="2" t="inlineStr">
        <is>
          <t>MLX q8_0 (affine, group=64)</t>
        </is>
      </c>
      <c r="B3" s="2" t="n">
        <v>0.21</v>
      </c>
      <c r="C3" s="7">
        <f>IF(B3="","",1000/B3)</f>
        <v/>
      </c>
      <c r="D3" s="8">
        <f>IF(B3="","",B3/B$2)</f>
        <v/>
      </c>
      <c r="E3" s="8">
        <f>IF(B3="","",B3/B$3)</f>
        <v/>
      </c>
      <c r="F3" s="2" t="inlineStr">
        <is>
          <t>4096x4096</t>
        </is>
      </c>
      <c r="G3" s="2" t="n">
        <v>1</v>
      </c>
    </row>
    <row r="4">
      <c r="A4" s="2" t="inlineStr">
        <is>
          <t>TQ8 pre-optimization</t>
        </is>
      </c>
      <c r="B4" s="2" t="n">
        <v>2.84</v>
      </c>
      <c r="C4" s="7">
        <f>IF(B4="","",1000/B4)</f>
        <v/>
      </c>
      <c r="D4" s="8">
        <f>IF(B4="","",B4/B$2)</f>
        <v/>
      </c>
      <c r="E4" s="8">
        <f>IF(B4="","",B4/B$3)</f>
        <v/>
      </c>
      <c r="F4" s="2" t="inlineStr">
        <is>
          <t>4096x4096</t>
        </is>
      </c>
      <c r="G4" s="2" t="n">
        <v>1</v>
      </c>
    </row>
    <row r="5">
      <c r="A5" s="2" t="inlineStr">
        <is>
          <t>TQ8 + shared rotation</t>
        </is>
      </c>
      <c r="B5" s="2" t="n">
        <v>1.7</v>
      </c>
      <c r="C5" s="7">
        <f>IF(B5="","",1000/B5)</f>
        <v/>
      </c>
      <c r="D5" s="8">
        <f>IF(B5="","",B5/B$2)</f>
        <v/>
      </c>
      <c r="E5" s="8">
        <f>IF(B5="","",B5/B$3)</f>
        <v/>
      </c>
      <c r="F5" s="2" t="inlineStr">
        <is>
          <t>4096x4096</t>
        </is>
      </c>
      <c r="G5" s="2" t="n">
        <v>1</v>
      </c>
    </row>
    <row r="6">
      <c r="A6" s="2" t="inlineStr">
        <is>
          <t>TQ8 + compiled metallib</t>
        </is>
      </c>
      <c r="B6" s="2" t="n">
        <v>1.9</v>
      </c>
      <c r="C6" s="7">
        <f>IF(B6="","",1000/B6)</f>
        <v/>
      </c>
      <c r="D6" s="8">
        <f>IF(B6="","",B6/B$2)</f>
        <v/>
      </c>
      <c r="E6" s="8">
        <f>IF(B6="","",B6/B$3)</f>
        <v/>
      </c>
      <c r="F6" s="2" t="inlineStr">
        <is>
          <t>4096x4096</t>
        </is>
      </c>
      <c r="G6" s="2" t="n">
        <v>1</v>
      </c>
    </row>
    <row r="7">
      <c r="A7" s="2" t="inlineStr">
        <is>
          <t>TQ8 + simdgroup opts</t>
        </is>
      </c>
      <c r="B7" s="2" t="n">
        <v>1.63</v>
      </c>
      <c r="C7" s="7">
        <f>IF(B7="","",1000/B7)</f>
        <v/>
      </c>
      <c r="D7" s="8">
        <f>IF(B7="","",B7/B$2)</f>
        <v/>
      </c>
      <c r="E7" s="8">
        <f>IF(B7="","",B7/B$3)</f>
        <v/>
      </c>
      <c r="F7" s="2" t="inlineStr">
        <is>
          <t>4096x4096</t>
        </is>
      </c>
      <c r="G7" s="2" t="n">
        <v>1</v>
      </c>
    </row>
    <row r="8">
      <c r="A8" s="2" t="inlineStr">
        <is>
          <t>TQ8 final (best run)</t>
        </is>
      </c>
      <c r="B8" s="2" t="n">
        <v>1.81</v>
      </c>
      <c r="C8" s="7">
        <f>IF(B8="","",1000/B8)</f>
        <v/>
      </c>
      <c r="D8" s="8">
        <f>IF(B8="","",B8/B$2)</f>
        <v/>
      </c>
      <c r="E8" s="8">
        <f>IF(B8="","",B8/B$3)</f>
        <v/>
      </c>
      <c r="F8" s="2" t="inlineStr">
        <is>
          <t>4096x4096</t>
        </is>
      </c>
      <c r="G8" s="2" t="n">
        <v>1</v>
      </c>
    </row>
    <row r="9">
      <c r="A9" s="2" t="inlineStr">
        <is>
          <t>TQ8 E2E pre-opt (real layer)</t>
        </is>
      </c>
      <c r="B9" s="2" t="n">
        <v>39.8</v>
      </c>
      <c r="C9" s="7">
        <f>IF(B9="","",1000/B9)</f>
        <v/>
      </c>
      <c r="D9" s="8">
        <f>IF(B9="","",B9/B$2)</f>
        <v/>
      </c>
      <c r="E9" s="8">
        <f>IF(B9="","",B9/B$3)</f>
        <v/>
      </c>
      <c r="F9" s="2" t="inlineStr">
        <is>
          <t>151936x2048</t>
        </is>
      </c>
      <c r="G9" s="2" t="n">
        <v>1</v>
      </c>
    </row>
    <row r="10">
      <c r="A10" s="2" t="inlineStr">
        <is>
          <t>TQ8 E2E post-opt (real layer)</t>
        </is>
      </c>
      <c r="B10" s="2" t="n">
        <v>21.6</v>
      </c>
      <c r="C10" s="7">
        <f>IF(B10="","",1000/B10)</f>
        <v/>
      </c>
      <c r="D10" s="8">
        <f>IF(B10="","",B10/B$2)</f>
        <v/>
      </c>
      <c r="E10" s="8">
        <f>IF(B10="","",B10/B$3)</f>
        <v/>
      </c>
      <c r="F10" s="2" t="inlineStr">
        <is>
          <t>151936x2048</t>
        </is>
      </c>
      <c r="G10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>
      <c r="A1" s="1" t="inlineStr">
        <is>
          <t>Metric</t>
        </is>
      </c>
      <c r="B1" s="1" t="inlineStr">
        <is>
          <t>Shared Rotation</t>
        </is>
      </c>
      <c r="C1" s="1" t="inlineStr">
        <is>
          <t>Dual Rotation</t>
        </is>
      </c>
      <c r="D1" s="1" t="inlineStr">
        <is>
          <t>Gaussian Reference</t>
        </is>
      </c>
      <c r="E1" s="1" t="inlineStr">
        <is>
          <t>Notes</t>
        </is>
      </c>
    </row>
    <row r="2">
      <c r="A2" s="2" t="inlineStr">
        <is>
          <t>Excess Kurtosis</t>
        </is>
      </c>
      <c r="B2" s="2" t="n">
        <v>16.18</v>
      </c>
      <c r="C2" s="2" t="n">
        <v>0.12</v>
      </c>
      <c r="D2" s="2" t="n">
        <v>0</v>
      </c>
      <c r="E2" s="2" t="inlineStr">
        <is>
          <t>Shared is 135x higher — codebook mismatch</t>
        </is>
      </c>
    </row>
    <row r="3">
      <c r="A3" s="2" t="inlineStr">
        <is>
          <t>Skewness</t>
        </is>
      </c>
      <c r="B3" s="2" t="n">
        <v>0.12</v>
      </c>
      <c r="C3" s="2" t="n">
        <v>-0.02</v>
      </c>
      <c r="D3" s="2" t="n">
        <v>0</v>
      </c>
      <c r="E3" s="2" t="inlineStr">
        <is>
          <t>Both near-symmetric</t>
        </is>
      </c>
    </row>
    <row r="4">
      <c r="A4" s="2" t="inlineStr">
        <is>
          <t>Std Dev</t>
        </is>
      </c>
      <c r="B4" s="2" t="n">
        <v>0.09859999999999999</v>
      </c>
      <c r="C4" s="2" t="n">
        <v>0.09859999999999999</v>
      </c>
      <c r="D4" s="2" t="n"/>
      <c r="E4" s="2" t="inlineStr">
        <is>
          <t>Identical magnitude</t>
        </is>
      </c>
    </row>
    <row r="5">
      <c r="A5" s="2" t="inlineStr">
        <is>
          <t>Mean</t>
        </is>
      </c>
      <c r="B5" s="2" t="n">
        <v>-0.0002</v>
      </c>
      <c r="C5" s="2" t="n">
        <v>-0.0002</v>
      </c>
      <c r="D5" s="2" t="n">
        <v>0</v>
      </c>
      <c r="E5" s="2" t="inlineStr">
        <is>
          <t>Both centered</t>
        </is>
      </c>
    </row>
    <row r="6">
      <c r="A6" s="2" t="inlineStr">
        <is>
          <t>MSE (synthetic 64x512)</t>
        </is>
      </c>
      <c r="B6" s="2" t="n">
        <v>0.001674</v>
      </c>
      <c r="C6" s="2" t="n">
        <v>0.001952</v>
      </c>
      <c r="D6" s="2" t="n"/>
      <c r="E6" s="2" t="inlineStr">
        <is>
          <t>Shared has LOWER MSE despite worse PPL</t>
        </is>
      </c>
    </row>
    <row r="7">
      <c r="A7" s="2" t="inlineStr">
        <is>
          <t>MSE with adapted CB</t>
        </is>
      </c>
      <c r="B7" s="2" t="n">
        <v>0.000174</v>
      </c>
      <c r="C7" s="2" t="n"/>
      <c r="D7" s="2" t="n"/>
      <c r="E7" s="2" t="inlineStr">
        <is>
          <t>89.6% improvement from fitted codebook</t>
        </is>
      </c>
    </row>
    <row r="8">
      <c r="A8" s="2" t="inlineStr">
        <is>
          <t>PPL Delta (32B)</t>
        </is>
      </c>
      <c r="B8" s="2" t="inlineStr">
        <is>
          <t>0.20%</t>
        </is>
      </c>
      <c r="C8" s="2" t="inlineStr">
        <is>
          <t>0.09%</t>
        </is>
      </c>
      <c r="D8" s="2" t="n"/>
      <c r="E8" s="2" t="inlineStr">
        <is>
          <t>Dual rotation is 2.2x better PPL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2" customWidth="1" min="4" max="4"/>
    <col width="8" customWidth="1" min="5" max="5"/>
    <col width="8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</cols>
  <sheetData>
    <row r="1">
      <c r="A1" s="1" t="inlineStr">
        <is>
          <t>Model</t>
        </is>
      </c>
      <c r="B1" s="1" t="inlineStr">
        <is>
          <t>HuggingFace Repo</t>
        </is>
      </c>
      <c r="C1" s="1" t="inlineStr">
        <is>
          <t>fp16 Size GB</t>
        </is>
      </c>
      <c r="D1" s="1" t="inlineStr">
        <is>
          <t>Hidden Dim</t>
        </is>
      </c>
      <c r="E1" s="1" t="inlineStr">
        <is>
          <t>Layers</t>
        </is>
      </c>
      <c r="F1" s="1" t="inlineStr">
        <is>
          <t>Heads</t>
        </is>
      </c>
      <c r="G1" s="1" t="inlineStr">
        <is>
          <t>KV Heads</t>
        </is>
      </c>
      <c r="H1" s="1" t="inlineStr">
        <is>
          <t>Head Dim</t>
        </is>
      </c>
      <c r="I1" s="1" t="inlineStr">
        <is>
          <t>Block Size</t>
        </is>
      </c>
      <c r="J1" s="1" t="inlineStr">
        <is>
          <t>Remainder</t>
        </is>
      </c>
      <c r="K1" s="1" t="inlineStr">
        <is>
          <t>Downloaded</t>
        </is>
      </c>
      <c r="L1" s="1" t="inlineStr">
        <is>
          <t>Converted</t>
        </is>
      </c>
      <c r="M1" s="1" t="inlineStr">
        <is>
          <t>PPL Validated</t>
        </is>
      </c>
    </row>
    <row r="2">
      <c r="A2" s="2" t="inlineStr">
        <is>
          <t>Qwen2.5-0.5B</t>
        </is>
      </c>
      <c r="B2" s="2" t="inlineStr">
        <is>
          <t>Qwen/Qwen2.5-0.5B</t>
        </is>
      </c>
      <c r="C2" s="2" t="n">
        <v>0.9419999999999999</v>
      </c>
      <c r="D2" s="2" t="n">
        <v>896</v>
      </c>
      <c r="E2" s="2" t="n">
        <v>24</v>
      </c>
      <c r="F2" s="2" t="n">
        <v>14</v>
      </c>
      <c r="G2" s="2" t="n">
        <v>2</v>
      </c>
      <c r="H2" s="2" t="n">
        <v>64</v>
      </c>
      <c r="I2" s="2" t="n">
        <v>128</v>
      </c>
      <c r="J2" s="2">
        <f>MOD(D2,I2)</f>
        <v/>
      </c>
      <c r="K2" s="2" t="inlineStr">
        <is>
          <t>Yes</t>
        </is>
      </c>
      <c r="L2" s="2" t="inlineStr">
        <is>
          <t>Yes</t>
        </is>
      </c>
      <c r="M2" s="2" t="inlineStr">
        <is>
          <t>Yes</t>
        </is>
      </c>
    </row>
    <row r="3">
      <c r="A3" s="2" t="inlineStr">
        <is>
          <t>Qwen2.5-7B</t>
        </is>
      </c>
      <c r="B3" s="2" t="inlineStr">
        <is>
          <t>Qwen/Qwen2.5-7B</t>
        </is>
      </c>
      <c r="C3" s="2" t="n">
        <v>14</v>
      </c>
      <c r="D3" s="2" t="n">
        <v>3584</v>
      </c>
      <c r="E3" s="2" t="n">
        <v>28</v>
      </c>
      <c r="F3" s="2" t="n">
        <v>28</v>
      </c>
      <c r="G3" s="2" t="n">
        <v>4</v>
      </c>
      <c r="H3" s="2" t="n">
        <v>128</v>
      </c>
      <c r="I3" s="2" t="n">
        <v>512</v>
      </c>
      <c r="J3" s="2">
        <f>MOD(D3,I3)</f>
        <v/>
      </c>
      <c r="K3" s="2" t="inlineStr">
        <is>
          <t>Yes</t>
        </is>
      </c>
      <c r="L3" s="2" t="inlineStr">
        <is>
          <t>Yes</t>
        </is>
      </c>
      <c r="M3" s="2" t="inlineStr">
        <is>
          <t>Yes</t>
        </is>
      </c>
    </row>
    <row r="4">
      <c r="A4" s="2" t="inlineStr">
        <is>
          <t>Qwen2.5-Coder-7B</t>
        </is>
      </c>
      <c r="B4" s="2" t="inlineStr">
        <is>
          <t>Qwen/Qwen2.5-Coder-7B</t>
        </is>
      </c>
      <c r="C4" s="2" t="n">
        <v>14</v>
      </c>
      <c r="D4" s="2" t="n">
        <v>3584</v>
      </c>
      <c r="E4" s="2" t="n">
        <v>28</v>
      </c>
      <c r="F4" s="2" t="n">
        <v>28</v>
      </c>
      <c r="G4" s="2" t="n">
        <v>4</v>
      </c>
      <c r="H4" s="2" t="n">
        <v>128</v>
      </c>
      <c r="I4" s="2" t="n">
        <v>512</v>
      </c>
      <c r="J4" s="2">
        <f>MOD(D4,I4)</f>
        <v/>
      </c>
      <c r="K4" s="2" t="inlineStr">
        <is>
          <t>Yes</t>
        </is>
      </c>
      <c r="L4" s="2" t="inlineStr">
        <is>
          <t>Yes</t>
        </is>
      </c>
      <c r="M4" s="2" t="inlineStr">
        <is>
          <t>Yes</t>
        </is>
      </c>
    </row>
    <row r="5">
      <c r="A5" s="2" t="inlineStr">
        <is>
          <t>Qwen2.5-32B</t>
        </is>
      </c>
      <c r="B5" s="2" t="inlineStr">
        <is>
          <t>Qwen/Qwen2.5-32B</t>
        </is>
      </c>
      <c r="C5" s="2" t="n">
        <v>61</v>
      </c>
      <c r="D5" s="2" t="n">
        <v>5120</v>
      </c>
      <c r="E5" s="2" t="n">
        <v>64</v>
      </c>
      <c r="F5" s="2" t="n">
        <v>40</v>
      </c>
      <c r="G5" s="2" t="n">
        <v>8</v>
      </c>
      <c r="H5" s="2" t="n">
        <v>128</v>
      </c>
      <c r="I5" s="2" t="n">
        <v>512</v>
      </c>
      <c r="J5" s="2">
        <f>MOD(D5,I5)</f>
        <v/>
      </c>
      <c r="K5" s="2" t="inlineStr">
        <is>
          <t>Yes</t>
        </is>
      </c>
      <c r="L5" s="2" t="inlineStr">
        <is>
          <t>Yes</t>
        </is>
      </c>
      <c r="M5" s="2" t="inlineStr">
        <is>
          <t>Yes</t>
        </is>
      </c>
    </row>
    <row r="6">
      <c r="A6" s="2" t="inlineStr">
        <is>
          <t>Qwen3.5-27B</t>
        </is>
      </c>
      <c r="B6" s="2" t="inlineStr">
        <is>
          <t>Qwen/Qwen3.5-27B</t>
        </is>
      </c>
      <c r="C6" s="2" t="n">
        <v>52</v>
      </c>
      <c r="D6" s="2" t="n">
        <v>5120</v>
      </c>
      <c r="E6" s="2" t="n">
        <v>64</v>
      </c>
      <c r="F6" s="2" t="n">
        <v>24</v>
      </c>
      <c r="G6" s="2" t="n">
        <v>4</v>
      </c>
      <c r="H6" s="2" t="n">
        <v>256</v>
      </c>
      <c r="I6" s="2" t="n">
        <v>512</v>
      </c>
      <c r="J6" s="2">
        <f>MOD(D6,I6)</f>
        <v/>
      </c>
      <c r="K6" s="2" t="inlineStr">
        <is>
          <t>Yes</t>
        </is>
      </c>
      <c r="L6" s="2" t="inlineStr">
        <is>
          <t>Yes</t>
        </is>
      </c>
      <c r="M6" s="2" t="inlineStr">
        <is>
          <t>Yes</t>
        </is>
      </c>
    </row>
    <row r="7">
      <c r="A7" s="2" t="inlineStr">
        <is>
          <t>Qwen3.5-35B-A3B</t>
        </is>
      </c>
      <c r="B7" s="2" t="inlineStr">
        <is>
          <t>—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inlineStr">
        <is>
          <t>No</t>
        </is>
      </c>
      <c r="L7" s="2" t="inlineStr">
        <is>
          <t>No</t>
        </is>
      </c>
      <c r="M7" s="2" t="inlineStr">
        <is>
          <t>No</t>
        </is>
      </c>
    </row>
    <row r="8">
      <c r="A8" s="2" t="inlineStr">
        <is>
          <t>Llama-3.1-70B</t>
        </is>
      </c>
      <c r="B8" s="2" t="inlineStr">
        <is>
          <t>meta-llama/Llama-3.1-70B</t>
        </is>
      </c>
      <c r="C8" s="2" t="n">
        <v>140</v>
      </c>
      <c r="D8" s="2" t="n">
        <v>8192</v>
      </c>
      <c r="E8" s="2" t="n">
        <v>80</v>
      </c>
      <c r="F8" s="2" t="n">
        <v>64</v>
      </c>
      <c r="G8" s="2" t="n">
        <v>8</v>
      </c>
      <c r="H8" s="2" t="n">
        <v>128</v>
      </c>
      <c r="I8" s="2" t="n">
        <v>512</v>
      </c>
      <c r="J8" s="2">
        <f>MOD(D8,I8)</f>
        <v/>
      </c>
      <c r="K8" s="2" t="inlineStr">
        <is>
          <t>No</t>
        </is>
      </c>
      <c r="L8" s="2" t="inlineStr">
        <is>
          <t>No</t>
        </is>
      </c>
      <c r="M8" s="2" t="inlineStr">
        <is>
          <t>No</t>
        </is>
      </c>
    </row>
    <row r="9">
      <c r="A9" s="2" t="inlineStr">
        <is>
          <t>DeepSeek-V3-671B</t>
        </is>
      </c>
      <c r="B9" s="2" t="inlineStr">
        <is>
          <t>—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inlineStr">
        <is>
          <t>No</t>
        </is>
      </c>
      <c r="L9" s="2" t="inlineStr">
        <is>
          <t>No</t>
        </is>
      </c>
      <c r="M9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2026-04-15T16:55:23Z</dcterms:created>
  <dcterms:modified xmlns:dcterms="http://purl.org/dc/terms/" xmlns:xsi="http://www.w3.org/2001/XMLSchema-instance" xsi:type="dcterms:W3CDTF">2026-04-15T16:55:23Z</dcterms:modified>
</cp:coreProperties>
</file>